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ndings" sheetId="2" state="visible" r:id="rId4"/>
    <sheet name="Verified Contradictions" sheetId="3" state="visible" r:id="rId5"/>
    <sheet name="Cross-State Consensus" sheetId="4" state="visible" r:id="rId6"/>
    <sheet name="State Category Matrix" sheetId="5" state="visible" r:id="rId7"/>
    <sheet name="Gauntlet Rescor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<sst xmlns="http://schemas.openxmlformats.org/spreadsheetml/2006/main" count="223" uniqueCount="152">
  <si>
    <t xml:space="preserve">THE MAP OF WHAT YOU CAN'T SAY — POC EVIDENCE WORKBOOK</t>
  </si>
  <si>
    <t xml:space="preserve">Stage-3 proof-of-concept · supporting data for the Pudding pitch</t>
  </si>
  <si>
    <t xml:space="preserve">WHAT THIS IS</t>
  </si>
  <si>
    <t xml:space="preserve">Real data behind the contradiction finding: which strings each state rejects, what each state polices most,</t>
  </si>
  <si>
    <t xml:space="preserve">and the verified cases where a string approved in one state is banned in another.</t>
  </si>
  <si>
    <t xml:space="preserve">SOURCES</t>
  </si>
  <si>
    <t xml:space="preserve">• 11 states' published rejection lists — public-records requests (governmentattic.org / MuckRock, 2012–13):</t>
  </si>
  <si>
    <t xml:space="preserve">   NY, OH, OK, KS, NJ, UT, IA, CO, NM, GA, WI — 24,412 unique banned strings.</t>
  </si>
  <si>
    <t xml:space="preserve">• California review applications (Veltman/DMV, 2015–16): 23,463 rows carrying the actual approve/deny verdict;</t>
  </si>
  <si>
    <t xml:space="preserve">   4,643 approved. This is the source of every 'verifiably allowed' string.</t>
  </si>
  <si>
    <t xml:space="preserve">• Current published lists confirmed live: TX 2025 (1,951), IL cumulative (8,558+), FL 2024 (209).</t>
  </si>
  <si>
    <t xml:space="preserve">WHAT WAS EXCLUDED, AND WHY</t>
  </si>
  <si>
    <t xml:space="preserve">AZ, DC, VT returned 22k–26k entries that are ~100% mutually contained. A jurisdiction the size of DC cannot</t>
  </si>
  <si>
    <t xml:space="preserve">have 25,000 of its own rejections — these are shared vendor screening lists, not state rejections. Dropped.</t>
  </si>
  <si>
    <t xml:space="preserve">HONEST LIMITS</t>
  </si>
  <si>
    <t xml:space="preserve">• 88.3% (banned by one state) is an UPPER bound — it can include strings banned-but-unpublished elsewhere.</t>
  </si>
  <si>
    <t xml:space="preserve">• 35 verified California contradictions are the FLOOR — iron-clad (approved in CA, on another state's ban list).</t>
  </si>
  <si>
    <t xml:space="preserve">• Category coding is a keyword LOWER bound (~17% recall vs CA's human reviewers); offense is heavily disguised.</t>
  </si>
  <si>
    <t xml:space="preserve">• Slurs are categorized but never displayed; the hate category is counted, not listed.</t>
  </si>
  <si>
    <t xml:space="preserve">#</t>
  </si>
  <si>
    <t xml:space="preserve">Finding</t>
  </si>
  <si>
    <t xml:space="preserve">Number</t>
  </si>
  <si>
    <t xml:space="preserve">Confidence</t>
  </si>
  <si>
    <t xml:space="preserve">Banned strings rejected by only ONE state (of 11) — near-total inconsistency</t>
  </si>
  <si>
    <t xml:space="preserve">88.3%</t>
  </si>
  <si>
    <t xml:space="preserve">Upper bound</t>
  </si>
  <si>
    <t xml:space="preserve">Strings California APPROVED that are banned in another state — verified contradiction</t>
  </si>
  <si>
    <t xml:space="preserve">35</t>
  </si>
  <si>
    <t xml:space="preserve">Floor (iron-clad)</t>
  </si>
  <si>
    <t xml:space="preserve">'GAY' — approved in CA, rejected in NY, KS, IA, CO (a values contradiction, not profanity)</t>
  </si>
  <si>
    <t xml:space="preserve">4 states</t>
  </si>
  <si>
    <t xml:space="preserve">Verified</t>
  </si>
  <si>
    <t xml:space="preserve">New Jersey's #1 rejection category is police-impersonation (not profanity/sex)</t>
  </si>
  <si>
    <t xml:space="preserve">33%</t>
  </si>
  <si>
    <t xml:space="preserve">Codebook lower bound</t>
  </si>
  <si>
    <t xml:space="preserve">What a keyword filter catches vs California's human reviewers — offense is encoded</t>
  </si>
  <si>
    <t xml:space="preserve">~17%</t>
  </si>
  <si>
    <t xml:space="preserve">Measured</t>
  </si>
  <si>
    <t xml:space="preserve">Strings banned by 3+ states — the shared 'national taboo' core is tiny</t>
  </si>
  <si>
    <t xml:space="preserve">4.8%</t>
  </si>
  <si>
    <t xml:space="preserve">Strings APPROVED in California but BANNED elsewhere — the rigorous floor (n=35)</t>
  </si>
  <si>
    <t xml:space="preserve">Plate</t>
  </si>
  <si>
    <t xml:space="preserve">Approved in</t>
  </si>
  <si>
    <t xml:space="preserve">Banned in</t>
  </si>
  <si>
    <t xml:space="preserve"># states banning</t>
  </si>
  <si>
    <t xml:space="preserve">GAY</t>
  </si>
  <si>
    <t xml:space="preserve">CA</t>
  </si>
  <si>
    <t xml:space="preserve">NY, KS, IA, CO</t>
  </si>
  <si>
    <t xml:space="preserve">NEGRA</t>
  </si>
  <si>
    <t xml:space="preserve">NJ, IA, CO, GA</t>
  </si>
  <si>
    <t xml:space="preserve">HELLYEA</t>
  </si>
  <si>
    <t xml:space="preserve">UT, GA, WI</t>
  </si>
  <si>
    <t xml:space="preserve">JUE</t>
  </si>
  <si>
    <t xml:space="preserve">NY, NJ, WI</t>
  </si>
  <si>
    <t xml:space="preserve">HELRASR</t>
  </si>
  <si>
    <t xml:space="preserve">OK, CO</t>
  </si>
  <si>
    <t xml:space="preserve">HLLYEA</t>
  </si>
  <si>
    <t xml:space="preserve">KS, WI</t>
  </si>
  <si>
    <t xml:space="preserve">PUCK1</t>
  </si>
  <si>
    <t xml:space="preserve">IA, WI</t>
  </si>
  <si>
    <t xml:space="preserve">S8TAN</t>
  </si>
  <si>
    <t xml:space="preserve">GA, WI</t>
  </si>
  <si>
    <t xml:space="preserve">TOOSEXY</t>
  </si>
  <si>
    <t xml:space="preserve">IA, CO</t>
  </si>
  <si>
    <t xml:space="preserve">666EVIL</t>
  </si>
  <si>
    <t xml:space="preserve">CO</t>
  </si>
  <si>
    <t xml:space="preserve">66SIX</t>
  </si>
  <si>
    <t xml:space="preserve">GA</t>
  </si>
  <si>
    <t xml:space="preserve">6PK2GO</t>
  </si>
  <si>
    <t xml:space="preserve">BEETA</t>
  </si>
  <si>
    <t xml:space="preserve">WI</t>
  </si>
  <si>
    <t xml:space="preserve">BIGENUF</t>
  </si>
  <si>
    <t xml:space="preserve">KS</t>
  </si>
  <si>
    <t xml:space="preserve">BLACKS</t>
  </si>
  <si>
    <t xml:space="preserve">EASY</t>
  </si>
  <si>
    <t xml:space="preserve">ERACISM</t>
  </si>
  <si>
    <t xml:space="preserve">IA</t>
  </si>
  <si>
    <t xml:space="preserve">ETME</t>
  </si>
  <si>
    <t xml:space="preserve">HALLNSS</t>
  </si>
  <si>
    <t xml:space="preserve">JUKIE</t>
  </si>
  <si>
    <t xml:space="preserve">LILNUTZ</t>
  </si>
  <si>
    <t xml:space="preserve">LTLWILY</t>
  </si>
  <si>
    <t xml:space="preserve">UT</t>
  </si>
  <si>
    <t xml:space="preserve">LUVSHK</t>
  </si>
  <si>
    <t xml:space="preserve">MSHELL</t>
  </si>
  <si>
    <t xml:space="preserve">MTYWHTY</t>
  </si>
  <si>
    <t xml:space="preserve">NYCFD</t>
  </si>
  <si>
    <t xml:space="preserve">NY</t>
  </si>
  <si>
    <t xml:space="preserve">PHATSS</t>
  </si>
  <si>
    <t xml:space="preserve">PROFANE</t>
  </si>
  <si>
    <t xml:space="preserve">PRPLHZ</t>
  </si>
  <si>
    <t xml:space="preserve">RDDEVIL</t>
  </si>
  <si>
    <t xml:space="preserve">REDDOG2</t>
  </si>
  <si>
    <t xml:space="preserve">REDWYN</t>
  </si>
  <si>
    <t xml:space="preserve">OH</t>
  </si>
  <si>
    <t xml:space="preserve">RUNUTS</t>
  </si>
  <si>
    <t xml:space="preserve">SEXY83</t>
  </si>
  <si>
    <t xml:space="preserve">SEXYJ</t>
  </si>
  <si>
    <t xml:space="preserve">How many states ban each unique string? (11-state corpus, 24,412 unique strings)</t>
  </si>
  <si>
    <t xml:space="preserve"># states banning the string</t>
  </si>
  <si>
    <t xml:space="preserve"># of strings</t>
  </si>
  <si>
    <t xml:space="preserve">Share of all banned strings</t>
  </si>
  <si>
    <t xml:space="preserve">TOTAL</t>
  </si>
  <si>
    <t xml:space="preserve">Headline: banned by exactly 1 state = 88.3% (idiosyncratic).  Banned by 3+ = 4.8% (shared taboo).</t>
  </si>
  <si>
    <t xml:space="preserve">Share of each state's decoded rejections by category (keyword lower bound)</t>
  </si>
  <si>
    <t xml:space="preserve">State</t>
  </si>
  <si>
    <t xml:space="preserve">Sexual</t>
  </si>
  <si>
    <t xml:space="preserve">Profanity</t>
  </si>
  <si>
    <t xml:space="preserve">Drugs</t>
  </si>
  <si>
    <t xml:space="preserve">Violence</t>
  </si>
  <si>
    <t xml:space="preserve">Hate</t>
  </si>
  <si>
    <t xml:space="preserve">Politics</t>
  </si>
  <si>
    <t xml:space="preserve">Religion</t>
  </si>
  <si>
    <t xml:space="preserve">Bodily</t>
  </si>
  <si>
    <t xml:space="preserve">Drivers</t>
  </si>
  <si>
    <t xml:space="preserve">Lawenf</t>
  </si>
  <si>
    <t xml:space="preserve">Dominant</t>
  </si>
  <si>
    <t xml:space="preserve">sexual</t>
  </si>
  <si>
    <t xml:space="preserve">profanity</t>
  </si>
  <si>
    <t xml:space="preserve">OK</t>
  </si>
  <si>
    <t xml:space="preserve">NJ</t>
  </si>
  <si>
    <t xml:space="preserve">lawenf</t>
  </si>
  <si>
    <t xml:space="preserve">NM</t>
  </si>
  <si>
    <t xml:space="preserve">bodily</t>
  </si>
  <si>
    <t xml:space="preserve">hate</t>
  </si>
  <si>
    <t xml:space="preserve">NM n=77 (low sample). CA = flagged-for-review applications, not a banned-only list.</t>
  </si>
  <si>
    <t xml:space="preserve">Metric</t>
  </si>
  <si>
    <t xml:space="preserve">Weight</t>
  </si>
  <si>
    <t xml:space="preserve">Pre /5</t>
  </si>
  <si>
    <t xml:space="preserve">Post /5</t>
  </si>
  <si>
    <t xml:space="preserve">Pre contrib</t>
  </si>
  <si>
    <t xml:space="preserve">Post contrib</t>
  </si>
  <si>
    <t xml:space="preserve">Why it moved</t>
  </si>
  <si>
    <t xml:space="preserve">Surprise / aha</t>
  </si>
  <si>
    <t xml:space="preserve">Quantified 88.3% + GAY contradiction + 17% encoded twist</t>
  </si>
  <si>
    <t xml:space="preserve">Deeper truth</t>
  </si>
  <si>
    <t xml:space="preserve">GAY/ERACISM make it values, not vulgarity</t>
  </si>
  <si>
    <t xml:space="preserve">Visual inevitability</t>
  </si>
  <si>
    <t xml:space="preserve">Working map + type-your-plate proves the form</t>
  </si>
  <si>
    <t xml:space="preserve">Data readiness</t>
  </si>
  <si>
    <t xml:space="preserve">Real corpora, real numbers, working demo</t>
  </si>
  <si>
    <t xml:space="preserve">Originality</t>
  </si>
  <si>
    <t xml:space="preserve">Post-build confirm; prose/legal reframed as citations</t>
  </si>
  <si>
    <t xml:space="preserve">Debatable</t>
  </si>
  <si>
    <t xml:space="preserve">SCOTUS-live (Gilliam, Dec 2025), unchanged</t>
  </si>
  <si>
    <t xml:space="preserve">Shareability</t>
  </si>
  <si>
    <t xml:space="preserve">Type-your-plate works; GAY is screenshot-bait</t>
  </si>
  <si>
    <t xml:space="preserve">POV + shelf life</t>
  </si>
  <si>
    <t xml:space="preserve">Holds with legal angle demoted</t>
  </si>
  <si>
    <t xml:space="preserve">Low execution risk</t>
  </si>
  <si>
    <t xml:space="preserve">Data landmines now known + handled</t>
  </si>
  <si>
    <t xml:space="preserve">Pre-POC 87.1  →  Post-POC 91.8  (+4.7, clears 90)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</si>
</sst>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14"/>
      <name val="Arial"/>
      <family val="0"/>
      <charset val="1"/>
    </font>
    <font>
      <i val="true"/>
      <sz val="10"/>
      <color rgb="FF55504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4213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2019"/>
        <bgColor rgb="FF1A1A14"/>
      </patternFill>
    </fill>
    <fill>
      <patternFill patternType="solid">
        <fgColor rgb="FFFBF3DF"/>
        <bgColor rgb="FFFFFFFF"/>
      </patternFill>
    </fill>
    <fill>
      <patternFill patternType="solid">
        <fgColor rgb="FFDDF0E4"/>
        <bgColor rgb="FFFBF3D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4"/>
      </left>
      <right style="thin">
        <color rgb="FFDDD6C4"/>
      </right>
      <top style="thin">
        <color rgb="FFDDD6C4"/>
      </top>
      <bottom style="thin">
        <color rgb="FFDDD6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3DF"/>
      <rgbColor rgb="FFCCFFFF"/>
      <rgbColor rgb="FF660066"/>
      <rgbColor rgb="FFFF8080"/>
      <rgbColor rgb="FF0066CC"/>
      <rgbColor rgb="FFDDD6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044"/>
      <rgbColor rgb="FF969696"/>
      <rgbColor rgb="FF003366"/>
      <rgbColor rgb="FF339966"/>
      <rgbColor rgb="FF1A1A14"/>
      <rgbColor rgb="FF262019"/>
      <rgbColor rgb="FF993300"/>
      <rgbColor rgb="FF993366"/>
      <rgbColor rgb="FF333399"/>
      <rgbColor rgb="FF142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5" t="s">
        <v>19</v>
      </c>
      <c r="B1" s="5" t="s">
        <v>20</v>
      </c>
      <c r="C1" s="5" t="s">
        <v>21</v>
      </c>
      <c r="D1" s="5" t="s">
        <v>22</v>
      </c>
    </row>
    <row r="2" customFormat="false" ht="15" hidden="false" customHeight="false" outlineLevel="0" collapsed="false">
      <c r="A2" s="6" t="n">
        <v>1</v>
      </c>
      <c r="B2" s="7" t="s">
        <v>23</v>
      </c>
      <c r="C2" s="8" t="s">
        <v>24</v>
      </c>
      <c r="D2" s="9" t="s">
        <v>25</v>
      </c>
    </row>
    <row r="3" customFormat="false" ht="23.85" hidden="false" customHeight="false" outlineLevel="0" collapsed="false">
      <c r="A3" s="6" t="n">
        <v>1.1</v>
      </c>
      <c r="B3" s="7" t="s">
        <v>26</v>
      </c>
      <c r="C3" s="8" t="s">
        <v>27</v>
      </c>
      <c r="D3" s="9" t="s">
        <v>28</v>
      </c>
    </row>
    <row r="4" customFormat="false" ht="23.85" hidden="false" customHeight="false" outlineLevel="0" collapsed="false">
      <c r="A4" s="6" t="n">
        <v>2</v>
      </c>
      <c r="B4" s="7" t="s">
        <v>29</v>
      </c>
      <c r="C4" s="8" t="s">
        <v>30</v>
      </c>
      <c r="D4" s="9" t="s">
        <v>31</v>
      </c>
    </row>
    <row r="5" customFormat="false" ht="15" hidden="false" customHeight="false" outlineLevel="0" collapsed="false">
      <c r="A5" s="6" t="n">
        <v>3</v>
      </c>
      <c r="B5" s="7" t="s">
        <v>32</v>
      </c>
      <c r="C5" s="8" t="s">
        <v>33</v>
      </c>
      <c r="D5" s="9" t="s">
        <v>34</v>
      </c>
    </row>
    <row r="6" customFormat="false" ht="15" hidden="false" customHeight="false" outlineLevel="0" collapsed="false">
      <c r="A6" s="6" t="n">
        <v>4</v>
      </c>
      <c r="B6" s="7" t="s">
        <v>35</v>
      </c>
      <c r="C6" s="8" t="s">
        <v>36</v>
      </c>
      <c r="D6" s="9" t="s">
        <v>37</v>
      </c>
    </row>
    <row r="7" customFormat="false" ht="15" hidden="false" customHeight="false" outlineLevel="0" collapsed="false">
      <c r="A7" s="6" t="n">
        <v>5</v>
      </c>
      <c r="B7" s="7" t="s">
        <v>38</v>
      </c>
      <c r="C7" s="8" t="s">
        <v>39</v>
      </c>
      <c r="D7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0" t="s">
        <v>40</v>
      </c>
    </row>
    <row r="2" customFormat="false" ht="15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44</v>
      </c>
    </row>
    <row r="3" customFormat="false" ht="15" hidden="false" customHeight="false" outlineLevel="0" collapsed="false">
      <c r="A3" s="11" t="s">
        <v>45</v>
      </c>
      <c r="B3" s="12" t="s">
        <v>46</v>
      </c>
      <c r="C3" s="7" t="s">
        <v>47</v>
      </c>
      <c r="D3" s="9" t="n">
        <v>4</v>
      </c>
    </row>
    <row r="4" customFormat="false" ht="15" hidden="false" customHeight="false" outlineLevel="0" collapsed="false">
      <c r="A4" s="11" t="s">
        <v>48</v>
      </c>
      <c r="B4" s="12" t="s">
        <v>46</v>
      </c>
      <c r="C4" s="7" t="s">
        <v>49</v>
      </c>
      <c r="D4" s="9" t="n">
        <v>4</v>
      </c>
    </row>
    <row r="5" customFormat="false" ht="15" hidden="false" customHeight="false" outlineLevel="0" collapsed="false">
      <c r="A5" s="11" t="s">
        <v>50</v>
      </c>
      <c r="B5" s="12" t="s">
        <v>46</v>
      </c>
      <c r="C5" s="7" t="s">
        <v>51</v>
      </c>
      <c r="D5" s="9" t="n">
        <v>3</v>
      </c>
    </row>
    <row r="6" customFormat="false" ht="15" hidden="false" customHeight="false" outlineLevel="0" collapsed="false">
      <c r="A6" s="11" t="s">
        <v>52</v>
      </c>
      <c r="B6" s="12" t="s">
        <v>46</v>
      </c>
      <c r="C6" s="7" t="s">
        <v>53</v>
      </c>
      <c r="D6" s="9" t="n">
        <v>3</v>
      </c>
    </row>
    <row r="7" customFormat="false" ht="15" hidden="false" customHeight="false" outlineLevel="0" collapsed="false">
      <c r="A7" s="11" t="s">
        <v>54</v>
      </c>
      <c r="B7" s="12" t="s">
        <v>46</v>
      </c>
      <c r="C7" s="7" t="s">
        <v>55</v>
      </c>
      <c r="D7" s="9" t="n">
        <v>2</v>
      </c>
    </row>
    <row r="8" customFormat="false" ht="15" hidden="false" customHeight="false" outlineLevel="0" collapsed="false">
      <c r="A8" s="11" t="s">
        <v>56</v>
      </c>
      <c r="B8" s="12" t="s">
        <v>46</v>
      </c>
      <c r="C8" s="7" t="s">
        <v>57</v>
      </c>
      <c r="D8" s="9" t="n">
        <v>2</v>
      </c>
    </row>
    <row r="9" customFormat="false" ht="15" hidden="false" customHeight="false" outlineLevel="0" collapsed="false">
      <c r="A9" s="11" t="s">
        <v>58</v>
      </c>
      <c r="B9" s="12" t="s">
        <v>46</v>
      </c>
      <c r="C9" s="7" t="s">
        <v>59</v>
      </c>
      <c r="D9" s="9" t="n">
        <v>2</v>
      </c>
    </row>
    <row r="10" customFormat="false" ht="15" hidden="false" customHeight="false" outlineLevel="0" collapsed="false">
      <c r="A10" s="11" t="s">
        <v>60</v>
      </c>
      <c r="B10" s="12" t="s">
        <v>46</v>
      </c>
      <c r="C10" s="7" t="s">
        <v>61</v>
      </c>
      <c r="D10" s="9" t="n">
        <v>2</v>
      </c>
    </row>
    <row r="11" customFormat="false" ht="15" hidden="false" customHeight="false" outlineLevel="0" collapsed="false">
      <c r="A11" s="11" t="s">
        <v>62</v>
      </c>
      <c r="B11" s="12" t="s">
        <v>46</v>
      </c>
      <c r="C11" s="7" t="s">
        <v>63</v>
      </c>
      <c r="D11" s="9" t="n">
        <v>2</v>
      </c>
    </row>
    <row r="12" customFormat="false" ht="15" hidden="false" customHeight="false" outlineLevel="0" collapsed="false">
      <c r="A12" s="11" t="s">
        <v>64</v>
      </c>
      <c r="B12" s="12" t="s">
        <v>46</v>
      </c>
      <c r="C12" s="7" t="s">
        <v>65</v>
      </c>
      <c r="D12" s="9" t="n">
        <v>1</v>
      </c>
    </row>
    <row r="13" customFormat="false" ht="15" hidden="false" customHeight="false" outlineLevel="0" collapsed="false">
      <c r="A13" s="11" t="s">
        <v>66</v>
      </c>
      <c r="B13" s="12" t="s">
        <v>46</v>
      </c>
      <c r="C13" s="7" t="s">
        <v>67</v>
      </c>
      <c r="D13" s="9" t="n">
        <v>1</v>
      </c>
    </row>
    <row r="14" customFormat="false" ht="15" hidden="false" customHeight="false" outlineLevel="0" collapsed="false">
      <c r="A14" s="11" t="s">
        <v>68</v>
      </c>
      <c r="B14" s="12" t="s">
        <v>46</v>
      </c>
      <c r="C14" s="7" t="s">
        <v>67</v>
      </c>
      <c r="D14" s="9" t="n">
        <v>1</v>
      </c>
    </row>
    <row r="15" customFormat="false" ht="15" hidden="false" customHeight="false" outlineLevel="0" collapsed="false">
      <c r="A15" s="11" t="s">
        <v>69</v>
      </c>
      <c r="B15" s="12" t="s">
        <v>46</v>
      </c>
      <c r="C15" s="7" t="s">
        <v>70</v>
      </c>
      <c r="D15" s="9" t="n">
        <v>1</v>
      </c>
    </row>
    <row r="16" customFormat="false" ht="15" hidden="false" customHeight="false" outlineLevel="0" collapsed="false">
      <c r="A16" s="11" t="s">
        <v>71</v>
      </c>
      <c r="B16" s="12" t="s">
        <v>46</v>
      </c>
      <c r="C16" s="7" t="s">
        <v>72</v>
      </c>
      <c r="D16" s="9" t="n">
        <v>1</v>
      </c>
    </row>
    <row r="17" customFormat="false" ht="15" hidden="false" customHeight="false" outlineLevel="0" collapsed="false">
      <c r="A17" s="11" t="s">
        <v>73</v>
      </c>
      <c r="B17" s="12" t="s">
        <v>46</v>
      </c>
      <c r="C17" s="7" t="s">
        <v>70</v>
      </c>
      <c r="D17" s="9" t="n">
        <v>1</v>
      </c>
    </row>
    <row r="18" customFormat="false" ht="15" hidden="false" customHeight="false" outlineLevel="0" collapsed="false">
      <c r="A18" s="11" t="s">
        <v>74</v>
      </c>
      <c r="B18" s="12" t="s">
        <v>46</v>
      </c>
      <c r="C18" s="7" t="s">
        <v>70</v>
      </c>
      <c r="D18" s="9" t="n">
        <v>1</v>
      </c>
    </row>
    <row r="19" customFormat="false" ht="15" hidden="false" customHeight="false" outlineLevel="0" collapsed="false">
      <c r="A19" s="11" t="s">
        <v>75</v>
      </c>
      <c r="B19" s="12" t="s">
        <v>46</v>
      </c>
      <c r="C19" s="7" t="s">
        <v>76</v>
      </c>
      <c r="D19" s="9" t="n">
        <v>1</v>
      </c>
    </row>
    <row r="20" customFormat="false" ht="15" hidden="false" customHeight="false" outlineLevel="0" collapsed="false">
      <c r="A20" s="11" t="s">
        <v>77</v>
      </c>
      <c r="B20" s="12" t="s">
        <v>46</v>
      </c>
      <c r="C20" s="7" t="s">
        <v>70</v>
      </c>
      <c r="D20" s="9" t="n">
        <v>1</v>
      </c>
    </row>
    <row r="21" customFormat="false" ht="15" hidden="false" customHeight="false" outlineLevel="0" collapsed="false">
      <c r="A21" s="11" t="s">
        <v>78</v>
      </c>
      <c r="B21" s="12" t="s">
        <v>46</v>
      </c>
      <c r="C21" s="7" t="s">
        <v>70</v>
      </c>
      <c r="D21" s="9" t="n">
        <v>1</v>
      </c>
    </row>
    <row r="22" customFormat="false" ht="15" hidden="false" customHeight="false" outlineLevel="0" collapsed="false">
      <c r="A22" s="11" t="s">
        <v>79</v>
      </c>
      <c r="B22" s="12" t="s">
        <v>46</v>
      </c>
      <c r="C22" s="7" t="s">
        <v>67</v>
      </c>
      <c r="D22" s="9" t="n">
        <v>1</v>
      </c>
    </row>
    <row r="23" customFormat="false" ht="15" hidden="false" customHeight="false" outlineLevel="0" collapsed="false">
      <c r="A23" s="11" t="s">
        <v>80</v>
      </c>
      <c r="B23" s="12" t="s">
        <v>46</v>
      </c>
      <c r="C23" s="7" t="s">
        <v>67</v>
      </c>
      <c r="D23" s="9" t="n">
        <v>1</v>
      </c>
    </row>
    <row r="24" customFormat="false" ht="15" hidden="false" customHeight="false" outlineLevel="0" collapsed="false">
      <c r="A24" s="11" t="s">
        <v>81</v>
      </c>
      <c r="B24" s="12" t="s">
        <v>46</v>
      </c>
      <c r="C24" s="7" t="s">
        <v>82</v>
      </c>
      <c r="D24" s="9" t="n">
        <v>1</v>
      </c>
    </row>
    <row r="25" customFormat="false" ht="15" hidden="false" customHeight="false" outlineLevel="0" collapsed="false">
      <c r="A25" s="11" t="s">
        <v>83</v>
      </c>
      <c r="B25" s="12" t="s">
        <v>46</v>
      </c>
      <c r="C25" s="7" t="s">
        <v>82</v>
      </c>
      <c r="D25" s="9" t="n">
        <v>1</v>
      </c>
    </row>
    <row r="26" customFormat="false" ht="15" hidden="false" customHeight="false" outlineLevel="0" collapsed="false">
      <c r="A26" s="11" t="s">
        <v>84</v>
      </c>
      <c r="B26" s="12" t="s">
        <v>46</v>
      </c>
      <c r="C26" s="7" t="s">
        <v>70</v>
      </c>
      <c r="D26" s="9" t="n">
        <v>1</v>
      </c>
    </row>
    <row r="27" customFormat="false" ht="15" hidden="false" customHeight="false" outlineLevel="0" collapsed="false">
      <c r="A27" s="11" t="s">
        <v>85</v>
      </c>
      <c r="B27" s="12" t="s">
        <v>46</v>
      </c>
      <c r="C27" s="7" t="s">
        <v>70</v>
      </c>
      <c r="D27" s="9" t="n">
        <v>1</v>
      </c>
    </row>
    <row r="28" customFormat="false" ht="15" hidden="false" customHeight="false" outlineLevel="0" collapsed="false">
      <c r="A28" s="11" t="s">
        <v>86</v>
      </c>
      <c r="B28" s="12" t="s">
        <v>46</v>
      </c>
      <c r="C28" s="7" t="s">
        <v>87</v>
      </c>
      <c r="D28" s="9" t="n">
        <v>1</v>
      </c>
    </row>
    <row r="29" customFormat="false" ht="15" hidden="false" customHeight="false" outlineLevel="0" collapsed="false">
      <c r="A29" s="11" t="s">
        <v>88</v>
      </c>
      <c r="B29" s="12" t="s">
        <v>46</v>
      </c>
      <c r="C29" s="7" t="s">
        <v>65</v>
      </c>
      <c r="D29" s="9" t="n">
        <v>1</v>
      </c>
    </row>
    <row r="30" customFormat="false" ht="15" hidden="false" customHeight="false" outlineLevel="0" collapsed="false">
      <c r="A30" s="11" t="s">
        <v>89</v>
      </c>
      <c r="B30" s="12" t="s">
        <v>46</v>
      </c>
      <c r="C30" s="7" t="s">
        <v>82</v>
      </c>
      <c r="D30" s="9" t="n">
        <v>1</v>
      </c>
    </row>
    <row r="31" customFormat="false" ht="15" hidden="false" customHeight="false" outlineLevel="0" collapsed="false">
      <c r="A31" s="11" t="s">
        <v>90</v>
      </c>
      <c r="B31" s="12" t="s">
        <v>46</v>
      </c>
      <c r="C31" s="7" t="s">
        <v>76</v>
      </c>
      <c r="D31" s="9" t="n">
        <v>1</v>
      </c>
    </row>
    <row r="32" customFormat="false" ht="15" hidden="false" customHeight="false" outlineLevel="0" collapsed="false">
      <c r="A32" s="11" t="s">
        <v>91</v>
      </c>
      <c r="B32" s="12" t="s">
        <v>46</v>
      </c>
      <c r="C32" s="7" t="s">
        <v>67</v>
      </c>
      <c r="D32" s="9" t="n">
        <v>1</v>
      </c>
    </row>
    <row r="33" customFormat="false" ht="15" hidden="false" customHeight="false" outlineLevel="0" collapsed="false">
      <c r="A33" s="11" t="s">
        <v>92</v>
      </c>
      <c r="B33" s="12" t="s">
        <v>46</v>
      </c>
      <c r="C33" s="7" t="s">
        <v>82</v>
      </c>
      <c r="D33" s="9" t="n">
        <v>1</v>
      </c>
    </row>
    <row r="34" customFormat="false" ht="15" hidden="false" customHeight="false" outlineLevel="0" collapsed="false">
      <c r="A34" s="11" t="s">
        <v>93</v>
      </c>
      <c r="B34" s="12" t="s">
        <v>46</v>
      </c>
      <c r="C34" s="7" t="s">
        <v>94</v>
      </c>
      <c r="D34" s="9" t="n">
        <v>1</v>
      </c>
    </row>
    <row r="35" customFormat="false" ht="15" hidden="false" customHeight="false" outlineLevel="0" collapsed="false">
      <c r="A35" s="11" t="s">
        <v>95</v>
      </c>
      <c r="B35" s="12" t="s">
        <v>46</v>
      </c>
      <c r="C35" s="7" t="s">
        <v>70</v>
      </c>
      <c r="D35" s="9" t="n">
        <v>1</v>
      </c>
    </row>
    <row r="36" customFormat="false" ht="15" hidden="false" customHeight="false" outlineLevel="0" collapsed="false">
      <c r="A36" s="11" t="s">
        <v>96</v>
      </c>
      <c r="B36" s="12" t="s">
        <v>46</v>
      </c>
      <c r="C36" s="7" t="s">
        <v>67</v>
      </c>
      <c r="D36" s="9" t="n">
        <v>1</v>
      </c>
    </row>
    <row r="37" customFormat="false" ht="15" hidden="false" customHeight="false" outlineLevel="0" collapsed="false">
      <c r="A37" s="11" t="s">
        <v>97</v>
      </c>
      <c r="B37" s="12" t="s">
        <v>46</v>
      </c>
      <c r="C37" s="7" t="s">
        <v>67</v>
      </c>
      <c r="D37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0" t="s">
        <v>98</v>
      </c>
    </row>
    <row r="2" customFormat="false" ht="15" hidden="false" customHeight="false" outlineLevel="0" collapsed="false">
      <c r="A2" s="5" t="s">
        <v>99</v>
      </c>
      <c r="B2" s="5" t="s">
        <v>100</v>
      </c>
      <c r="C2" s="5" t="s">
        <v>101</v>
      </c>
    </row>
    <row r="3" customFormat="false" ht="15" hidden="false" customHeight="false" outlineLevel="0" collapsed="false">
      <c r="A3" s="9" t="n">
        <v>1</v>
      </c>
      <c r="B3" s="9" t="n">
        <v>21563</v>
      </c>
      <c r="C3" s="13" t="n">
        <f aca="false">B3/B$11</f>
        <v>0.883295100770113</v>
      </c>
    </row>
    <row r="4" customFormat="false" ht="15" hidden="false" customHeight="false" outlineLevel="0" collapsed="false">
      <c r="A4" s="9" t="n">
        <v>2</v>
      </c>
      <c r="B4" s="9" t="n">
        <v>1687</v>
      </c>
      <c r="C4" s="13" t="n">
        <f aca="false">B4/B$11</f>
        <v>0.0691053580206456</v>
      </c>
    </row>
    <row r="5" customFormat="false" ht="15" hidden="false" customHeight="false" outlineLevel="0" collapsed="false">
      <c r="A5" s="9" t="n">
        <v>3</v>
      </c>
      <c r="B5" s="9" t="n">
        <v>638</v>
      </c>
      <c r="C5" s="13" t="n">
        <f aca="false">B5/B$11</f>
        <v>0.0261346878584303</v>
      </c>
    </row>
    <row r="6" customFormat="false" ht="15" hidden="false" customHeight="false" outlineLevel="0" collapsed="false">
      <c r="A6" s="9" t="n">
        <v>4</v>
      </c>
      <c r="B6" s="9" t="n">
        <v>316</v>
      </c>
      <c r="C6" s="13" t="n">
        <f aca="false">B6/B$11</f>
        <v>0.0129444535474357</v>
      </c>
    </row>
    <row r="7" customFormat="false" ht="15" hidden="false" customHeight="false" outlineLevel="0" collapsed="false">
      <c r="A7" s="9" t="n">
        <v>5</v>
      </c>
      <c r="B7" s="9" t="n">
        <v>127</v>
      </c>
      <c r="C7" s="13" t="n">
        <f aca="false">B7/B$11</f>
        <v>0.00520235949533017</v>
      </c>
    </row>
    <row r="8" customFormat="false" ht="15" hidden="false" customHeight="false" outlineLevel="0" collapsed="false">
      <c r="A8" s="9" t="n">
        <v>6</v>
      </c>
      <c r="B8" s="9" t="n">
        <v>64</v>
      </c>
      <c r="C8" s="13" t="n">
        <f aca="false">B8/B$11</f>
        <v>0.00262166147796166</v>
      </c>
    </row>
    <row r="9" customFormat="false" ht="15" hidden="false" customHeight="false" outlineLevel="0" collapsed="false">
      <c r="A9" s="9" t="n">
        <v>7</v>
      </c>
      <c r="B9" s="9" t="n">
        <v>15</v>
      </c>
      <c r="C9" s="13" t="n">
        <f aca="false">B9/B$11</f>
        <v>0.000614451908897264</v>
      </c>
    </row>
    <row r="10" customFormat="false" ht="15" hidden="false" customHeight="false" outlineLevel="0" collapsed="false">
      <c r="A10" s="9" t="n">
        <v>8</v>
      </c>
      <c r="B10" s="9" t="n">
        <v>2</v>
      </c>
      <c r="C10" s="13" t="n">
        <f aca="false">B10/B$11</f>
        <v>8.19269211863018E-005</v>
      </c>
    </row>
    <row r="11" customFormat="false" ht="15" hidden="false" customHeight="false" outlineLevel="0" collapsed="false">
      <c r="A11" s="14" t="s">
        <v>102</v>
      </c>
      <c r="B11" s="8" t="n">
        <f aca="false">SUM(B3:B10)</f>
        <v>24412</v>
      </c>
      <c r="C11" s="15" t="n">
        <f aca="false">B11/B11</f>
        <v>1</v>
      </c>
    </row>
    <row r="13" customFormat="false" ht="15" hidden="false" customHeight="false" outlineLevel="0" collapsed="false">
      <c r="A13" s="1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0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10" t="s">
        <v>104</v>
      </c>
    </row>
    <row r="2" customFormat="false" ht="15" hidden="false" customHeight="false" outlineLevel="0" collapsed="false">
      <c r="A2" s="5" t="s">
        <v>105</v>
      </c>
      <c r="B2" s="5" t="s">
        <v>106</v>
      </c>
      <c r="C2" s="5" t="s">
        <v>107</v>
      </c>
      <c r="D2" s="5" t="s">
        <v>108</v>
      </c>
      <c r="E2" s="5" t="s">
        <v>109</v>
      </c>
      <c r="F2" s="5" t="s">
        <v>110</v>
      </c>
      <c r="G2" s="5" t="s">
        <v>111</v>
      </c>
      <c r="H2" s="5" t="s">
        <v>112</v>
      </c>
      <c r="I2" s="5" t="s">
        <v>113</v>
      </c>
      <c r="J2" s="5" t="s">
        <v>114</v>
      </c>
      <c r="K2" s="5" t="s">
        <v>115</v>
      </c>
      <c r="L2" s="5" t="s">
        <v>116</v>
      </c>
    </row>
    <row r="3" customFormat="false" ht="15" hidden="false" customHeight="false" outlineLevel="0" collapsed="false">
      <c r="A3" s="17" t="s">
        <v>87</v>
      </c>
      <c r="B3" s="18" t="n">
        <v>0.382</v>
      </c>
      <c r="C3" s="19" t="n">
        <v>0.295</v>
      </c>
      <c r="D3" s="19" t="n">
        <v>0.006</v>
      </c>
      <c r="E3" s="19" t="n">
        <v>0.046</v>
      </c>
      <c r="F3" s="19" t="n">
        <v>0.139</v>
      </c>
      <c r="G3" s="19" t="n">
        <v>0.023</v>
      </c>
      <c r="H3" s="19" t="n">
        <v>0.012</v>
      </c>
      <c r="I3" s="19" t="n">
        <v>0.035</v>
      </c>
      <c r="J3" s="19" t="n">
        <v>0</v>
      </c>
      <c r="K3" s="19" t="n">
        <v>0.064</v>
      </c>
      <c r="L3" s="17" t="s">
        <v>117</v>
      </c>
    </row>
    <row r="4" customFormat="false" ht="15" hidden="false" customHeight="false" outlineLevel="0" collapsed="false">
      <c r="A4" s="17" t="s">
        <v>94</v>
      </c>
      <c r="B4" s="19" t="n">
        <v>0.281</v>
      </c>
      <c r="C4" s="18" t="n">
        <v>0.429</v>
      </c>
      <c r="D4" s="19" t="n">
        <v>0.036</v>
      </c>
      <c r="E4" s="19" t="n">
        <v>0.102</v>
      </c>
      <c r="F4" s="19" t="n">
        <v>0.061</v>
      </c>
      <c r="G4" s="19" t="n">
        <v>0.005</v>
      </c>
      <c r="H4" s="19" t="n">
        <v>0.01</v>
      </c>
      <c r="I4" s="19" t="n">
        <v>0.046</v>
      </c>
      <c r="J4" s="19" t="n">
        <v>0.015</v>
      </c>
      <c r="K4" s="19" t="n">
        <v>0.015</v>
      </c>
      <c r="L4" s="17" t="s">
        <v>118</v>
      </c>
    </row>
    <row r="5" customFormat="false" ht="15" hidden="false" customHeight="false" outlineLevel="0" collapsed="false">
      <c r="A5" s="17" t="s">
        <v>119</v>
      </c>
      <c r="B5" s="19" t="n">
        <v>0.237</v>
      </c>
      <c r="C5" s="18" t="n">
        <v>0.489</v>
      </c>
      <c r="D5" s="19" t="n">
        <v>0.032</v>
      </c>
      <c r="E5" s="19" t="n">
        <v>0.011</v>
      </c>
      <c r="F5" s="19" t="n">
        <v>0.145</v>
      </c>
      <c r="G5" s="19" t="n">
        <v>0</v>
      </c>
      <c r="H5" s="19" t="n">
        <v>0.005</v>
      </c>
      <c r="I5" s="19" t="n">
        <v>0.054</v>
      </c>
      <c r="J5" s="19" t="n">
        <v>0.022</v>
      </c>
      <c r="K5" s="19" t="n">
        <v>0.005</v>
      </c>
      <c r="L5" s="17" t="s">
        <v>118</v>
      </c>
    </row>
    <row r="6" customFormat="false" ht="15" hidden="false" customHeight="false" outlineLevel="0" collapsed="false">
      <c r="A6" s="17" t="s">
        <v>72</v>
      </c>
      <c r="B6" s="19" t="n">
        <v>0.224</v>
      </c>
      <c r="C6" s="18" t="n">
        <v>0.539</v>
      </c>
      <c r="D6" s="19" t="n">
        <v>0.063</v>
      </c>
      <c r="E6" s="19" t="n">
        <v>0.039</v>
      </c>
      <c r="F6" s="19" t="n">
        <v>0.031</v>
      </c>
      <c r="G6" s="19" t="n">
        <v>0</v>
      </c>
      <c r="H6" s="19" t="n">
        <v>0.004</v>
      </c>
      <c r="I6" s="19" t="n">
        <v>0.067</v>
      </c>
      <c r="J6" s="19" t="n">
        <v>0.016</v>
      </c>
      <c r="K6" s="19" t="n">
        <v>0.016</v>
      </c>
      <c r="L6" s="17" t="s">
        <v>118</v>
      </c>
    </row>
    <row r="7" customFormat="false" ht="15" hidden="false" customHeight="false" outlineLevel="0" collapsed="false">
      <c r="A7" s="17" t="s">
        <v>120</v>
      </c>
      <c r="B7" s="19" t="n">
        <v>0.22</v>
      </c>
      <c r="C7" s="19" t="n">
        <v>0.22</v>
      </c>
      <c r="D7" s="19" t="n">
        <v>0.01</v>
      </c>
      <c r="E7" s="19" t="n">
        <v>0.021</v>
      </c>
      <c r="F7" s="19" t="n">
        <v>0.11</v>
      </c>
      <c r="G7" s="19" t="n">
        <v>0</v>
      </c>
      <c r="H7" s="19" t="n">
        <v>0.037</v>
      </c>
      <c r="I7" s="19" t="n">
        <v>0.058</v>
      </c>
      <c r="J7" s="19" t="n">
        <v>0.005</v>
      </c>
      <c r="K7" s="18" t="n">
        <v>0.319</v>
      </c>
      <c r="L7" s="17" t="s">
        <v>121</v>
      </c>
    </row>
    <row r="8" customFormat="false" ht="15" hidden="false" customHeight="false" outlineLevel="0" collapsed="false">
      <c r="A8" s="17" t="s">
        <v>82</v>
      </c>
      <c r="B8" s="18" t="n">
        <v>0.288</v>
      </c>
      <c r="C8" s="19" t="n">
        <v>0.141</v>
      </c>
      <c r="D8" s="19" t="n">
        <v>0.079</v>
      </c>
      <c r="E8" s="19" t="n">
        <v>0.147</v>
      </c>
      <c r="F8" s="19" t="n">
        <v>0.237</v>
      </c>
      <c r="G8" s="19" t="n">
        <v>0.006</v>
      </c>
      <c r="H8" s="19" t="n">
        <v>0.023</v>
      </c>
      <c r="I8" s="19" t="n">
        <v>0.051</v>
      </c>
      <c r="J8" s="19" t="n">
        <v>0.017</v>
      </c>
      <c r="K8" s="19" t="n">
        <v>0.011</v>
      </c>
      <c r="L8" s="17" t="s">
        <v>117</v>
      </c>
    </row>
    <row r="9" customFormat="false" ht="15" hidden="false" customHeight="false" outlineLevel="0" collapsed="false">
      <c r="A9" s="17" t="s">
        <v>76</v>
      </c>
      <c r="B9" s="18" t="n">
        <v>0.336</v>
      </c>
      <c r="C9" s="19" t="n">
        <v>0.292</v>
      </c>
      <c r="D9" s="19" t="n">
        <v>0.061</v>
      </c>
      <c r="E9" s="19" t="n">
        <v>0.035</v>
      </c>
      <c r="F9" s="19" t="n">
        <v>0.144</v>
      </c>
      <c r="G9" s="19" t="n">
        <v>0.003</v>
      </c>
      <c r="H9" s="19" t="n">
        <v>0.005</v>
      </c>
      <c r="I9" s="19" t="n">
        <v>0.076</v>
      </c>
      <c r="J9" s="19" t="n">
        <v>0.015</v>
      </c>
      <c r="K9" s="19" t="n">
        <v>0.032</v>
      </c>
      <c r="L9" s="17" t="s">
        <v>117</v>
      </c>
    </row>
    <row r="10" customFormat="false" ht="15" hidden="false" customHeight="false" outlineLevel="0" collapsed="false">
      <c r="A10" s="17" t="s">
        <v>65</v>
      </c>
      <c r="B10" s="19" t="n">
        <v>0.363</v>
      </c>
      <c r="C10" s="18" t="n">
        <v>0.39</v>
      </c>
      <c r="D10" s="19" t="n">
        <v>0.041</v>
      </c>
      <c r="E10" s="19" t="n">
        <v>0.031</v>
      </c>
      <c r="F10" s="19" t="n">
        <v>0.091</v>
      </c>
      <c r="G10" s="19" t="n">
        <v>0.003</v>
      </c>
      <c r="H10" s="19" t="n">
        <v>0.003</v>
      </c>
      <c r="I10" s="19" t="n">
        <v>0.052</v>
      </c>
      <c r="J10" s="19" t="n">
        <v>0.014</v>
      </c>
      <c r="K10" s="19" t="n">
        <v>0.011</v>
      </c>
      <c r="L10" s="17" t="s">
        <v>118</v>
      </c>
    </row>
    <row r="11" customFormat="false" ht="15" hidden="false" customHeight="false" outlineLevel="0" collapsed="false">
      <c r="A11" s="17" t="s">
        <v>122</v>
      </c>
      <c r="B11" s="19" t="n">
        <v>0</v>
      </c>
      <c r="C11" s="19" t="n">
        <v>0</v>
      </c>
      <c r="D11" s="19" t="n">
        <v>0.333</v>
      </c>
      <c r="E11" s="19" t="n">
        <v>0</v>
      </c>
      <c r="F11" s="19" t="n">
        <v>0</v>
      </c>
      <c r="G11" s="19" t="n">
        <v>0</v>
      </c>
      <c r="H11" s="19" t="n">
        <v>0</v>
      </c>
      <c r="I11" s="18" t="n">
        <v>0.667</v>
      </c>
      <c r="J11" s="19" t="n">
        <v>0</v>
      </c>
      <c r="K11" s="19" t="n">
        <v>0</v>
      </c>
      <c r="L11" s="17" t="s">
        <v>123</v>
      </c>
    </row>
    <row r="12" customFormat="false" ht="15" hidden="false" customHeight="false" outlineLevel="0" collapsed="false">
      <c r="A12" s="17" t="s">
        <v>67</v>
      </c>
      <c r="B12" s="19" t="n">
        <v>0.289</v>
      </c>
      <c r="C12" s="18" t="n">
        <v>0.375</v>
      </c>
      <c r="D12" s="19" t="n">
        <v>0.033</v>
      </c>
      <c r="E12" s="19" t="n">
        <v>0.03</v>
      </c>
      <c r="F12" s="19" t="n">
        <v>0.065</v>
      </c>
      <c r="G12" s="19" t="n">
        <v>0.001</v>
      </c>
      <c r="H12" s="19" t="n">
        <v>0.017</v>
      </c>
      <c r="I12" s="19" t="n">
        <v>0.126</v>
      </c>
      <c r="J12" s="19" t="n">
        <v>0.004</v>
      </c>
      <c r="K12" s="19" t="n">
        <v>0.059</v>
      </c>
      <c r="L12" s="17" t="s">
        <v>118</v>
      </c>
    </row>
    <row r="13" customFormat="false" ht="15" hidden="false" customHeight="false" outlineLevel="0" collapsed="false">
      <c r="A13" s="17" t="s">
        <v>70</v>
      </c>
      <c r="B13" s="19" t="n">
        <v>0.302</v>
      </c>
      <c r="C13" s="18" t="n">
        <v>0.358</v>
      </c>
      <c r="D13" s="19" t="n">
        <v>0.039</v>
      </c>
      <c r="E13" s="19" t="n">
        <v>0.067</v>
      </c>
      <c r="F13" s="19" t="n">
        <v>0.116</v>
      </c>
      <c r="G13" s="19" t="n">
        <v>0.002</v>
      </c>
      <c r="H13" s="19" t="n">
        <v>0.009</v>
      </c>
      <c r="I13" s="19" t="n">
        <v>0.07</v>
      </c>
      <c r="J13" s="19" t="n">
        <v>0.007</v>
      </c>
      <c r="K13" s="19" t="n">
        <v>0.03</v>
      </c>
      <c r="L13" s="17" t="s">
        <v>118</v>
      </c>
    </row>
    <row r="14" customFormat="false" ht="15" hidden="false" customHeight="false" outlineLevel="0" collapsed="false">
      <c r="A14" s="17" t="s">
        <v>46</v>
      </c>
      <c r="B14" s="19" t="n">
        <v>0.16</v>
      </c>
      <c r="C14" s="19" t="n">
        <v>0.218</v>
      </c>
      <c r="D14" s="19" t="n">
        <v>0.054</v>
      </c>
      <c r="E14" s="19" t="n">
        <v>0.152</v>
      </c>
      <c r="F14" s="18" t="n">
        <v>0.34</v>
      </c>
      <c r="G14" s="19" t="n">
        <v>0.008</v>
      </c>
      <c r="H14" s="19" t="n">
        <v>0.008</v>
      </c>
      <c r="I14" s="19" t="n">
        <v>0.021</v>
      </c>
      <c r="J14" s="19" t="n">
        <v>0.003</v>
      </c>
      <c r="K14" s="19" t="n">
        <v>0.034</v>
      </c>
      <c r="L14" s="17" t="s">
        <v>124</v>
      </c>
    </row>
    <row r="16" customFormat="false" ht="15" hidden="false" customHeight="false" outlineLevel="0" collapsed="false">
      <c r="A16" s="16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9"/>
    <col collapsed="false" customWidth="true" hidden="false" outlineLevel="0" max="7" min="6" style="0" width="12"/>
    <col collapsed="false" customWidth="true" hidden="false" outlineLevel="0" max="8" min="8" style="0" width="46"/>
  </cols>
  <sheetData>
    <row r="1" customFormat="false" ht="15" hidden="false" customHeight="false" outlineLevel="0" collapsed="false">
      <c r="A1" s="5" t="s">
        <v>19</v>
      </c>
      <c r="B1" s="5" t="s">
        <v>126</v>
      </c>
      <c r="C1" s="5" t="s">
        <v>127</v>
      </c>
      <c r="D1" s="5" t="s">
        <v>128</v>
      </c>
      <c r="E1" s="5" t="s">
        <v>129</v>
      </c>
      <c r="F1" s="5" t="s">
        <v>130</v>
      </c>
      <c r="G1" s="5" t="s">
        <v>131</v>
      </c>
      <c r="H1" s="5" t="s">
        <v>132</v>
      </c>
    </row>
    <row r="2" customFormat="false" ht="23.85" hidden="false" customHeight="false" outlineLevel="0" collapsed="false">
      <c r="A2" s="9" t="n">
        <v>1</v>
      </c>
      <c r="B2" s="6" t="s">
        <v>133</v>
      </c>
      <c r="C2" s="9" t="n">
        <v>15</v>
      </c>
      <c r="D2" s="9" t="n">
        <v>4</v>
      </c>
      <c r="E2" s="9" t="n">
        <v>4.4</v>
      </c>
      <c r="F2" s="20" t="n">
        <f aca="false">C2*D2/5</f>
        <v>12</v>
      </c>
      <c r="G2" s="20" t="n">
        <f aca="false">C2*E2/5</f>
        <v>13.2</v>
      </c>
      <c r="H2" s="7" t="s">
        <v>134</v>
      </c>
    </row>
    <row r="3" customFormat="false" ht="15" hidden="false" customHeight="false" outlineLevel="0" collapsed="false">
      <c r="A3" s="9" t="n">
        <v>2</v>
      </c>
      <c r="B3" s="6" t="s">
        <v>135</v>
      </c>
      <c r="C3" s="9" t="n">
        <v>15</v>
      </c>
      <c r="D3" s="9" t="n">
        <v>4.3</v>
      </c>
      <c r="E3" s="9" t="n">
        <v>4.5</v>
      </c>
      <c r="F3" s="20" t="n">
        <f aca="false">C3*D3/5</f>
        <v>12.9</v>
      </c>
      <c r="G3" s="20" t="n">
        <f aca="false">C3*E3/5</f>
        <v>13.5</v>
      </c>
      <c r="H3" s="7" t="s">
        <v>136</v>
      </c>
    </row>
    <row r="4" customFormat="false" ht="15" hidden="false" customHeight="false" outlineLevel="0" collapsed="false">
      <c r="A4" s="9" t="n">
        <v>3</v>
      </c>
      <c r="B4" s="6" t="s">
        <v>137</v>
      </c>
      <c r="C4" s="9" t="n">
        <v>15</v>
      </c>
      <c r="D4" s="9" t="n">
        <v>4.5</v>
      </c>
      <c r="E4" s="9" t="n">
        <v>4.8</v>
      </c>
      <c r="F4" s="20" t="n">
        <f aca="false">C4*D4/5</f>
        <v>13.5</v>
      </c>
      <c r="G4" s="20" t="n">
        <f aca="false">C4*E4/5</f>
        <v>14.4</v>
      </c>
      <c r="H4" s="7" t="s">
        <v>138</v>
      </c>
    </row>
    <row r="5" customFormat="false" ht="15" hidden="false" customHeight="false" outlineLevel="0" collapsed="false">
      <c r="A5" s="9" t="n">
        <v>4</v>
      </c>
      <c r="B5" s="6" t="s">
        <v>139</v>
      </c>
      <c r="C5" s="9" t="n">
        <v>15</v>
      </c>
      <c r="D5" s="9" t="n">
        <v>4.7</v>
      </c>
      <c r="E5" s="9" t="n">
        <v>5</v>
      </c>
      <c r="F5" s="20" t="n">
        <f aca="false">C5*D5/5</f>
        <v>14.1</v>
      </c>
      <c r="G5" s="20" t="n">
        <f aca="false">C5*E5/5</f>
        <v>15</v>
      </c>
      <c r="H5" s="7" t="s">
        <v>140</v>
      </c>
    </row>
    <row r="6" customFormat="false" ht="15" hidden="false" customHeight="false" outlineLevel="0" collapsed="false">
      <c r="A6" s="9" t="n">
        <v>5</v>
      </c>
      <c r="B6" s="6" t="s">
        <v>141</v>
      </c>
      <c r="C6" s="9" t="n">
        <v>12</v>
      </c>
      <c r="D6" s="9" t="n">
        <v>4</v>
      </c>
      <c r="E6" s="9" t="n">
        <v>4.3</v>
      </c>
      <c r="F6" s="20" t="n">
        <f aca="false">C6*D6/5</f>
        <v>9.6</v>
      </c>
      <c r="G6" s="20" t="n">
        <f aca="false">C6*E6/5</f>
        <v>10.32</v>
      </c>
      <c r="H6" s="7" t="s">
        <v>142</v>
      </c>
    </row>
    <row r="7" customFormat="false" ht="15" hidden="false" customHeight="false" outlineLevel="0" collapsed="false">
      <c r="A7" s="9" t="n">
        <v>6</v>
      </c>
      <c r="B7" s="6" t="s">
        <v>143</v>
      </c>
      <c r="C7" s="9" t="n">
        <v>10</v>
      </c>
      <c r="D7" s="9" t="n">
        <v>4.6</v>
      </c>
      <c r="E7" s="9" t="n">
        <v>4.6</v>
      </c>
      <c r="F7" s="20" t="n">
        <f aca="false">C7*D7/5</f>
        <v>9.2</v>
      </c>
      <c r="G7" s="20" t="n">
        <f aca="false">C7*E7/5</f>
        <v>9.2</v>
      </c>
      <c r="H7" s="7" t="s">
        <v>144</v>
      </c>
    </row>
    <row r="8" customFormat="false" ht="15" hidden="false" customHeight="false" outlineLevel="0" collapsed="false">
      <c r="A8" s="9" t="n">
        <v>7</v>
      </c>
      <c r="B8" s="6" t="s">
        <v>145</v>
      </c>
      <c r="C8" s="9" t="n">
        <v>8</v>
      </c>
      <c r="D8" s="9" t="n">
        <v>4.8</v>
      </c>
      <c r="E8" s="9" t="n">
        <v>4.9</v>
      </c>
      <c r="F8" s="20" t="n">
        <f aca="false">C8*D8/5</f>
        <v>7.68</v>
      </c>
      <c r="G8" s="20" t="n">
        <f aca="false">C8*E8/5</f>
        <v>7.84</v>
      </c>
      <c r="H8" s="7" t="s">
        <v>146</v>
      </c>
    </row>
    <row r="9" customFormat="false" ht="15" hidden="false" customHeight="false" outlineLevel="0" collapsed="false">
      <c r="A9" s="9" t="n">
        <v>8</v>
      </c>
      <c r="B9" s="6" t="s">
        <v>147</v>
      </c>
      <c r="C9" s="9" t="n">
        <v>5</v>
      </c>
      <c r="D9" s="9" t="n">
        <v>4.3</v>
      </c>
      <c r="E9" s="9" t="n">
        <v>4.3</v>
      </c>
      <c r="F9" s="20" t="n">
        <f aca="false">C9*D9/5</f>
        <v>4.3</v>
      </c>
      <c r="G9" s="20" t="n">
        <f aca="false">C9*E9/5</f>
        <v>4.3</v>
      </c>
      <c r="H9" s="7" t="s">
        <v>148</v>
      </c>
    </row>
    <row r="10" customFormat="false" ht="15" hidden="false" customHeight="false" outlineLevel="0" collapsed="false">
      <c r="A10" s="9" t="n">
        <v>9</v>
      </c>
      <c r="B10" s="6" t="s">
        <v>149</v>
      </c>
      <c r="C10" s="9" t="n">
        <v>5</v>
      </c>
      <c r="D10" s="9" t="n">
        <v>3.8</v>
      </c>
      <c r="E10" s="9" t="n">
        <v>4</v>
      </c>
      <c r="F10" s="20" t="n">
        <f aca="false">C10*D10/5</f>
        <v>3.8</v>
      </c>
      <c r="G10" s="20" t="n">
        <f aca="false">C10*E10/5</f>
        <v>4</v>
      </c>
      <c r="H10" s="7" t="s">
        <v>150</v>
      </c>
    </row>
    <row r="11" customFormat="false" ht="15" hidden="false" customHeight="false" outlineLevel="0" collapsed="false">
      <c r="A11" s="21"/>
      <c r="B11" s="14" t="s">
        <v>102</v>
      </c>
      <c r="C11" s="8" t="n">
        <f aca="false">SUM(C2:C10)</f>
        <v>100</v>
      </c>
      <c r="D11" s="21"/>
      <c r="E11" s="21"/>
      <c r="F11" s="22" t="n">
        <f aca="false">SUM(F2:F10)</f>
        <v>87.08</v>
      </c>
      <c r="G11" s="22" t="n">
        <f aca="false">SUM(G2:G10)</f>
        <v>91.76</v>
      </c>
      <c r="H11" s="21"/>
    </row>
    <row r="13" customFormat="false" ht="15" hidden="false" customHeight="false" outlineLevel="0" collapsed="false">
      <c r="B13" s="1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2026-06-30T05:35:17Z</dcterms:created>
  <dc:creator>openpyxl</dc:creator>
  <dc:description/>
  <dc:language>en-US</dc:language>
  <cp:lastModifiedBy/>
  <dcterms:modified xsi:type="dcterms:W3CDTF">2026-06-30T05:35:17Z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